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380" yWindow="504" windowWidth="23256" windowHeight="13176"/>
  </bookViews>
  <sheets>
    <sheet name="Dosis Vasopresores" sheetId="1" r:id="rId1"/>
    <sheet name="Dosis Sedantes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L9" i="2"/>
  <c r="K10" i="1"/>
  <c r="L22" i="2"/>
  <c r="K9" i="1"/>
  <c r="A23" i="2"/>
  <c r="L20" i="2"/>
  <c r="K20" i="1"/>
  <c r="A21" i="2"/>
  <c r="A17" i="2"/>
  <c r="A15" i="2"/>
  <c r="A11" i="2"/>
  <c r="L14" i="2"/>
  <c r="L2" i="2"/>
  <c r="L8" i="2"/>
  <c r="A5" i="2"/>
  <c r="A3" i="2"/>
  <c r="A17" i="1"/>
  <c r="A11" i="1"/>
  <c r="A5" i="1"/>
  <c r="A23" i="1"/>
  <c r="A21" i="1"/>
  <c r="K14" i="1"/>
  <c r="A15" i="1"/>
  <c r="K8" i="1"/>
  <c r="K4" i="1"/>
  <c r="K3" i="1"/>
  <c r="K2" i="1"/>
  <c r="A3" i="1"/>
  <c r="A9" i="1"/>
</calcChain>
</file>

<file path=xl/sharedStrings.xml><?xml version="1.0" encoding="utf-8"?>
<sst xmlns="http://schemas.openxmlformats.org/spreadsheetml/2006/main" count="157" uniqueCount="72">
  <si>
    <t>Peso</t>
  </si>
  <si>
    <t>Dosis</t>
  </si>
  <si>
    <t>Constante</t>
  </si>
  <si>
    <t>VI</t>
  </si>
  <si>
    <t>Calcular dosis</t>
  </si>
  <si>
    <t>Dosis de Nore</t>
  </si>
  <si>
    <t>Norepinefrina</t>
  </si>
  <si>
    <t>Dilución</t>
  </si>
  <si>
    <t>8 mg/50 ml</t>
  </si>
  <si>
    <t>8 mg/100 ml</t>
  </si>
  <si>
    <t>4 mg/100 ml</t>
  </si>
  <si>
    <t>Dosis de Dopa</t>
  </si>
  <si>
    <t>Calcular velocidad de infusión (ml/h)</t>
  </si>
  <si>
    <t>0.05-0.5 mcg/kg/min</t>
  </si>
  <si>
    <t>Tiempo (min)</t>
  </si>
  <si>
    <t>Mcg</t>
  </si>
  <si>
    <t>Diluir en</t>
  </si>
  <si>
    <t xml:space="preserve">Diluir en </t>
  </si>
  <si>
    <t>Dosis de Dobuta</t>
  </si>
  <si>
    <t>500 mg/250 ml</t>
  </si>
  <si>
    <t>Dobutamina (Choque cardiogénico)</t>
  </si>
  <si>
    <t>Dopamina (más arritmogénica)</t>
  </si>
  <si>
    <t>400 mg/250 ml</t>
  </si>
  <si>
    <t>Vasopresina</t>
  </si>
  <si>
    <t>Dosis de Vaso</t>
  </si>
  <si>
    <t>2-10 mcg/kg/min (efecto adrenérgico)</t>
  </si>
  <si>
    <t>2-20 mcg/kg/min (Dosis máx 40)</t>
  </si>
  <si>
    <t>U</t>
  </si>
  <si>
    <t>Midazolam</t>
  </si>
  <si>
    <t>Dosis de Mida</t>
  </si>
  <si>
    <t>0.02-0.1 mg/kg/h</t>
  </si>
  <si>
    <t>Calcular dosis (mg/kg/h)</t>
  </si>
  <si>
    <t>Dexmedetomidina</t>
  </si>
  <si>
    <t>0.2-0.7 mcg/kg/h</t>
  </si>
  <si>
    <t>Dosis de Dexme</t>
  </si>
  <si>
    <t>400 mcg/100 ml</t>
  </si>
  <si>
    <t>Presentaciones</t>
  </si>
  <si>
    <t>15 mg/3 ml</t>
  </si>
  <si>
    <t>50 mg/10 ml</t>
  </si>
  <si>
    <t>Vecuronio</t>
  </si>
  <si>
    <t>Constante (mcg/ml/min)</t>
  </si>
  <si>
    <t>Constante (mcg/ml)</t>
  </si>
  <si>
    <t>Dosis de Vecu</t>
  </si>
  <si>
    <t>1-2 mcg/kg/min</t>
  </si>
  <si>
    <t>4 mg/ml</t>
  </si>
  <si>
    <t>Propofol</t>
  </si>
  <si>
    <t>Dosis de Propo</t>
  </si>
  <si>
    <t>Presentación</t>
  </si>
  <si>
    <t>200 mcg/2 ml</t>
  </si>
  <si>
    <t>4 mg/4 ml</t>
  </si>
  <si>
    <t>250 mg/5 ml</t>
  </si>
  <si>
    <t>200 mg/5 ml</t>
  </si>
  <si>
    <t>20 UI/ml</t>
  </si>
  <si>
    <t>200 mg/100 ml</t>
  </si>
  <si>
    <t>Mg</t>
  </si>
  <si>
    <t>Constante (mg/ml)</t>
  </si>
  <si>
    <t>40 mg/100 ml</t>
  </si>
  <si>
    <t>Calcular dosis (mg/kg/min)</t>
  </si>
  <si>
    <t>Tiempo</t>
  </si>
  <si>
    <t>200 mg/20 ml</t>
  </si>
  <si>
    <t>100 U/100 ml</t>
  </si>
  <si>
    <t>Constante (U/ml)</t>
  </si>
  <si>
    <t>Volumen</t>
  </si>
  <si>
    <t>Velocidad de infusión (ml/h)</t>
  </si>
  <si>
    <t>No se diluye; se administran 5 ámpulas para 24 horas (1000 mg/100 ml)</t>
  </si>
  <si>
    <t>Calculo dosis (mcg/kg/min)</t>
  </si>
  <si>
    <t>1-3 mg/kg bolo, después 0.3-5 mg/kg/h (5-85 mcg/kg/min)</t>
  </si>
  <si>
    <t>0.01-0.07 U/min</t>
  </si>
  <si>
    <t>150 mg/150 ml</t>
  </si>
  <si>
    <t>VI- ml</t>
  </si>
  <si>
    <t>VI-ml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</si>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</sst>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C3" sqref="C3"/>
    </sheetView>
  </sheetViews>
  <sheetFormatPr defaultColWidth="10.77734375" defaultRowHeight="14.4" x14ac:dyDescent="0.3"/>
  <cols>
    <col min="1" max="1" width="15.77734375" customWidth="1"/>
    <col min="2" max="2" width="5.33203125" bestFit="1" customWidth="1"/>
    <col min="3" max="3" width="4.77734375" bestFit="1" customWidth="1"/>
    <col min="4" max="4" width="9.33203125" bestFit="1" customWidth="1"/>
    <col min="6" max="6" width="18" bestFit="1" customWidth="1"/>
    <col min="7" max="8" width="13" bestFit="1" customWidth="1"/>
    <col min="10" max="11" width="12" bestFit="1" customWidth="1"/>
  </cols>
  <sheetData>
    <row r="1" spans="1:12" ht="28.8" x14ac:dyDescent="0.3">
      <c r="A1" s="17" t="s">
        <v>6</v>
      </c>
      <c r="B1" s="17"/>
      <c r="C1" s="17"/>
      <c r="D1" s="17"/>
      <c r="E1" s="1"/>
      <c r="F1" s="5" t="s">
        <v>5</v>
      </c>
      <c r="G1" s="4" t="s">
        <v>47</v>
      </c>
      <c r="H1" s="4" t="s">
        <v>7</v>
      </c>
      <c r="I1" s="4" t="s">
        <v>15</v>
      </c>
      <c r="J1" s="4" t="s">
        <v>16</v>
      </c>
      <c r="K1" s="3" t="s">
        <v>40</v>
      </c>
      <c r="L1" s="4" t="s">
        <v>14</v>
      </c>
    </row>
    <row r="2" spans="1:12" ht="43.2" x14ac:dyDescent="0.3">
      <c r="A2" s="3" t="s">
        <v>12</v>
      </c>
      <c r="B2" s="4" t="s">
        <v>1</v>
      </c>
      <c r="C2" s="4" t="s">
        <v>0</v>
      </c>
      <c r="D2" s="4" t="s">
        <v>2</v>
      </c>
      <c r="E2" s="1"/>
      <c r="F2" s="5" t="s">
        <v>13</v>
      </c>
      <c r="G2" s="12" t="s">
        <v>49</v>
      </c>
      <c r="H2" s="4" t="s">
        <v>10</v>
      </c>
      <c r="I2" s="4">
        <v>4000</v>
      </c>
      <c r="J2" s="4">
        <v>100</v>
      </c>
      <c r="K2" s="4">
        <f>I2/J2/L2</f>
        <v>0.66666666666666663</v>
      </c>
      <c r="L2" s="4">
        <v>60</v>
      </c>
    </row>
    <row r="3" spans="1:12" ht="15" x14ac:dyDescent="0.2">
      <c r="A3" s="3" t="e">
        <f>(B3*C3)/D3</f>
        <v>#VALUE!</v>
      </c>
      <c r="B3" s="4">
        <v>0</v>
      </c>
      <c r="C3" s="4" t="s">
        <v>71</v>
      </c>
      <c r="D3" s="4">
        <v>1.33</v>
      </c>
      <c r="E3" s="1"/>
      <c r="F3" s="2"/>
      <c r="G3" s="11"/>
      <c r="H3" s="10" t="s">
        <v>8</v>
      </c>
      <c r="I3" s="4">
        <v>8000</v>
      </c>
      <c r="J3" s="4">
        <v>50</v>
      </c>
      <c r="K3" s="4">
        <f>I3/J3/L2</f>
        <v>2.6666666666666665</v>
      </c>
      <c r="L3" s="1"/>
    </row>
    <row r="4" spans="1:12" ht="15" x14ac:dyDescent="0.2">
      <c r="A4" s="4" t="s">
        <v>4</v>
      </c>
      <c r="B4" s="4" t="s">
        <v>69</v>
      </c>
      <c r="C4" s="4" t="s">
        <v>0</v>
      </c>
      <c r="D4" s="4" t="s">
        <v>2</v>
      </c>
      <c r="E4" s="1"/>
      <c r="F4" s="2"/>
      <c r="G4" s="9"/>
      <c r="H4" s="10" t="s">
        <v>9</v>
      </c>
      <c r="I4" s="4">
        <v>8000</v>
      </c>
      <c r="J4" s="4">
        <v>100</v>
      </c>
      <c r="K4" s="4">
        <f>I4/J4/L2</f>
        <v>1.3333333333333333</v>
      </c>
      <c r="L4" s="1"/>
    </row>
    <row r="5" spans="1:12" ht="15" x14ac:dyDescent="0.2">
      <c r="A5" s="4">
        <f>(B5*D5)/C5</f>
        <v>4.4333333333333336E-2</v>
      </c>
      <c r="B5" s="4">
        <v>2</v>
      </c>
      <c r="C5" s="4">
        <v>60</v>
      </c>
      <c r="D5" s="4">
        <v>1.33</v>
      </c>
      <c r="E5" s="1"/>
      <c r="F5" s="1"/>
      <c r="G5" s="1"/>
      <c r="H5" s="1"/>
      <c r="I5" s="1"/>
      <c r="J5" s="1"/>
      <c r="K5" s="1"/>
    </row>
    <row r="6" spans="1:12" ht="15" x14ac:dyDescent="0.2">
      <c r="A6" s="2"/>
      <c r="B6" s="2"/>
      <c r="C6" s="2"/>
      <c r="D6" s="2"/>
      <c r="E6" s="1"/>
      <c r="F6" s="1"/>
      <c r="G6" s="1"/>
      <c r="H6" s="1"/>
      <c r="I6" s="1"/>
      <c r="J6" s="1"/>
      <c r="K6" s="1"/>
    </row>
    <row r="7" spans="1:12" ht="28.8" x14ac:dyDescent="0.3">
      <c r="A7" s="17" t="s">
        <v>20</v>
      </c>
      <c r="B7" s="17"/>
      <c r="C7" s="17"/>
      <c r="D7" s="17"/>
      <c r="E7" s="1"/>
      <c r="F7" s="4" t="s">
        <v>18</v>
      </c>
      <c r="G7" s="4" t="s">
        <v>47</v>
      </c>
      <c r="H7" s="4" t="s">
        <v>7</v>
      </c>
      <c r="I7" s="4" t="s">
        <v>15</v>
      </c>
      <c r="J7" s="4" t="s">
        <v>17</v>
      </c>
      <c r="K7" s="3" t="s">
        <v>40</v>
      </c>
      <c r="L7" s="4" t="s">
        <v>14</v>
      </c>
    </row>
    <row r="8" spans="1:12" ht="43.2" x14ac:dyDescent="0.3">
      <c r="A8" s="3" t="s">
        <v>12</v>
      </c>
      <c r="B8" s="4" t="s">
        <v>1</v>
      </c>
      <c r="C8" s="4" t="s">
        <v>0</v>
      </c>
      <c r="D8" s="4" t="s">
        <v>2</v>
      </c>
      <c r="E8" s="1"/>
      <c r="F8" s="3" t="s">
        <v>26</v>
      </c>
      <c r="G8" s="4" t="s">
        <v>50</v>
      </c>
      <c r="H8" s="4" t="s">
        <v>19</v>
      </c>
      <c r="I8" s="4">
        <v>500000</v>
      </c>
      <c r="J8" s="4">
        <v>250</v>
      </c>
      <c r="K8" s="4">
        <f>I8/J8/L8</f>
        <v>33.333333333333336</v>
      </c>
      <c r="L8" s="4">
        <v>60</v>
      </c>
    </row>
    <row r="9" spans="1:12" ht="15" x14ac:dyDescent="0.2">
      <c r="A9" s="3">
        <f>(B9*C9)/D9</f>
        <v>6.7226890756302522</v>
      </c>
      <c r="B9" s="4">
        <v>10</v>
      </c>
      <c r="C9" s="4">
        <v>56</v>
      </c>
      <c r="D9" s="4">
        <v>83.3</v>
      </c>
      <c r="E9" s="1"/>
      <c r="F9" s="2"/>
      <c r="G9" s="2"/>
      <c r="H9" s="2"/>
      <c r="I9" s="4">
        <v>250000</v>
      </c>
      <c r="J9" s="4">
        <v>250</v>
      </c>
      <c r="K9" s="4">
        <f>I9/J9/L9</f>
        <v>16.666666666666668</v>
      </c>
      <c r="L9" s="4">
        <v>60</v>
      </c>
    </row>
    <row r="10" spans="1:12" ht="15" x14ac:dyDescent="0.2">
      <c r="A10" s="4" t="s">
        <v>4</v>
      </c>
      <c r="B10" s="4" t="s">
        <v>70</v>
      </c>
      <c r="C10" s="4" t="s">
        <v>0</v>
      </c>
      <c r="D10" s="4" t="s">
        <v>2</v>
      </c>
      <c r="E10" s="1"/>
      <c r="F10" s="2"/>
      <c r="G10" s="2"/>
      <c r="H10" s="2"/>
      <c r="I10" s="4">
        <v>500000</v>
      </c>
      <c r="J10" s="4">
        <v>100</v>
      </c>
      <c r="K10" s="4">
        <f>I10/J10/L10</f>
        <v>83.333333333333329</v>
      </c>
      <c r="L10" s="16">
        <v>60</v>
      </c>
    </row>
    <row r="11" spans="1:12" ht="15" x14ac:dyDescent="0.2">
      <c r="A11" s="4">
        <f>(B11*D11)/C11</f>
        <v>5.9517857142857133</v>
      </c>
      <c r="B11" s="4">
        <v>10</v>
      </c>
      <c r="C11" s="4">
        <v>56</v>
      </c>
      <c r="D11" s="4">
        <v>33.33</v>
      </c>
      <c r="E11" s="1"/>
      <c r="F11" s="2"/>
      <c r="G11" s="2"/>
      <c r="H11" s="2"/>
      <c r="I11" s="2"/>
      <c r="J11" s="2"/>
      <c r="K11" s="2"/>
    </row>
    <row r="12" spans="1:12" ht="15" x14ac:dyDescent="0.2">
      <c r="A12" s="2"/>
      <c r="B12" s="2"/>
      <c r="C12" s="2"/>
      <c r="D12" s="2"/>
      <c r="E12" s="1"/>
      <c r="F12" s="1"/>
      <c r="G12" s="1"/>
      <c r="H12" s="1"/>
      <c r="I12" s="1"/>
      <c r="J12" s="1"/>
      <c r="K12" s="1"/>
    </row>
    <row r="13" spans="1:12" ht="28.8" x14ac:dyDescent="0.3">
      <c r="A13" s="17" t="s">
        <v>21</v>
      </c>
      <c r="B13" s="17"/>
      <c r="C13" s="17"/>
      <c r="D13" s="17"/>
      <c r="E13" s="1"/>
      <c r="F13" s="4" t="s">
        <v>11</v>
      </c>
      <c r="G13" s="4" t="s">
        <v>47</v>
      </c>
      <c r="H13" s="4" t="s">
        <v>7</v>
      </c>
      <c r="I13" s="4" t="s">
        <v>15</v>
      </c>
      <c r="J13" s="4" t="s">
        <v>17</v>
      </c>
      <c r="K13" s="3" t="s">
        <v>40</v>
      </c>
      <c r="L13" s="4" t="s">
        <v>14</v>
      </c>
    </row>
    <row r="14" spans="1:12" ht="43.2" x14ac:dyDescent="0.3">
      <c r="A14" s="3" t="s">
        <v>12</v>
      </c>
      <c r="B14" s="4" t="s">
        <v>1</v>
      </c>
      <c r="C14" s="4" t="s">
        <v>0</v>
      </c>
      <c r="D14" s="4" t="s">
        <v>2</v>
      </c>
      <c r="E14" s="1"/>
      <c r="F14" s="3" t="s">
        <v>25</v>
      </c>
      <c r="G14" s="4" t="s">
        <v>51</v>
      </c>
      <c r="H14" s="4" t="s">
        <v>22</v>
      </c>
      <c r="I14" s="4">
        <v>400000</v>
      </c>
      <c r="J14" s="4">
        <v>250</v>
      </c>
      <c r="K14" s="4">
        <f>I14/J14/L14</f>
        <v>26.666666666666668</v>
      </c>
      <c r="L14" s="4">
        <v>60</v>
      </c>
    </row>
    <row r="15" spans="1:12" ht="15" x14ac:dyDescent="0.2">
      <c r="A15" s="3" t="e">
        <f>(B15*C15)/D15</f>
        <v>#DIV/0!</v>
      </c>
      <c r="B15" s="4">
        <v>0</v>
      </c>
      <c r="C15" s="4">
        <v>0</v>
      </c>
      <c r="D15" s="4">
        <v>0</v>
      </c>
      <c r="E15" s="1"/>
      <c r="F15" s="1"/>
      <c r="G15" s="1"/>
      <c r="H15" s="1"/>
      <c r="I15" s="1"/>
      <c r="J15" s="1"/>
      <c r="K15" s="1"/>
    </row>
    <row r="16" spans="1:12" ht="15" x14ac:dyDescent="0.2">
      <c r="A16" s="4" t="s">
        <v>4</v>
      </c>
      <c r="B16" s="4" t="s">
        <v>70</v>
      </c>
      <c r="C16" s="4" t="s">
        <v>0</v>
      </c>
      <c r="D16" s="4" t="s">
        <v>2</v>
      </c>
      <c r="E16" s="1"/>
      <c r="F16" s="1"/>
      <c r="G16" s="1"/>
      <c r="H16" s="1"/>
      <c r="I16" s="1"/>
      <c r="J16" s="1"/>
      <c r="K16" s="1"/>
    </row>
    <row r="17" spans="1:12" ht="15" x14ac:dyDescent="0.2">
      <c r="A17" s="4" t="e">
        <f>(B17*D17)/C17</f>
        <v>#DIV/0!</v>
      </c>
      <c r="B17" s="4">
        <v>0</v>
      </c>
      <c r="C17" s="4">
        <v>0</v>
      </c>
      <c r="D17" s="4">
        <v>0</v>
      </c>
      <c r="E17" s="1"/>
      <c r="F17" s="1"/>
      <c r="G17" s="1"/>
      <c r="H17" s="1"/>
      <c r="I17" s="1"/>
      <c r="J17" s="1"/>
      <c r="K17" s="1"/>
    </row>
    <row r="18" spans="1:12" ht="15" x14ac:dyDescent="0.2">
      <c r="A18" s="2"/>
      <c r="B18" s="2"/>
      <c r="C18" s="2"/>
      <c r="D18" s="2"/>
      <c r="E18" s="1"/>
      <c r="F18" s="1"/>
      <c r="G18" s="1"/>
      <c r="H18" s="1"/>
      <c r="I18" s="1"/>
      <c r="J18" s="1"/>
      <c r="K18" s="1"/>
    </row>
    <row r="19" spans="1:12" ht="28.8" x14ac:dyDescent="0.3">
      <c r="A19" s="17" t="s">
        <v>23</v>
      </c>
      <c r="B19" s="17"/>
      <c r="C19" s="17"/>
      <c r="D19" s="17"/>
      <c r="E19" s="1"/>
      <c r="F19" s="4" t="s">
        <v>24</v>
      </c>
      <c r="G19" s="4" t="s">
        <v>47</v>
      </c>
      <c r="H19" s="4" t="s">
        <v>7</v>
      </c>
      <c r="I19" s="4" t="s">
        <v>27</v>
      </c>
      <c r="J19" s="4" t="s">
        <v>17</v>
      </c>
      <c r="K19" s="6" t="s">
        <v>61</v>
      </c>
      <c r="L19" s="14"/>
    </row>
    <row r="20" spans="1:12" ht="43.2" x14ac:dyDescent="0.3">
      <c r="A20" s="3" t="s">
        <v>12</v>
      </c>
      <c r="B20" s="4" t="s">
        <v>1</v>
      </c>
      <c r="C20" s="4" t="s">
        <v>0</v>
      </c>
      <c r="D20" s="4" t="s">
        <v>2</v>
      </c>
      <c r="E20" s="1"/>
      <c r="F20" s="4" t="s">
        <v>67</v>
      </c>
      <c r="G20" s="4" t="s">
        <v>52</v>
      </c>
      <c r="H20" s="4" t="s">
        <v>60</v>
      </c>
      <c r="I20" s="4">
        <v>100</v>
      </c>
      <c r="J20" s="4">
        <v>100</v>
      </c>
      <c r="K20" s="5">
        <f>I20/J20</f>
        <v>1</v>
      </c>
      <c r="L20" s="14"/>
    </row>
    <row r="21" spans="1:12" ht="15" x14ac:dyDescent="0.2">
      <c r="A21" s="3">
        <f>(B21*C21)/D21</f>
        <v>2.25</v>
      </c>
      <c r="B21" s="4">
        <v>0.05</v>
      </c>
      <c r="C21" s="4">
        <v>45</v>
      </c>
      <c r="D21" s="4">
        <v>1</v>
      </c>
      <c r="E21" s="1"/>
      <c r="F21" s="1"/>
      <c r="G21" s="1"/>
      <c r="H21" s="1"/>
      <c r="I21" s="1"/>
      <c r="J21" s="1"/>
      <c r="K21" s="1"/>
    </row>
    <row r="22" spans="1:12" ht="15" x14ac:dyDescent="0.2">
      <c r="A22" s="4" t="s">
        <v>4</v>
      </c>
      <c r="B22" s="4" t="s">
        <v>70</v>
      </c>
      <c r="C22" s="4" t="s">
        <v>0</v>
      </c>
      <c r="D22" s="4" t="s">
        <v>2</v>
      </c>
      <c r="E22" s="1"/>
      <c r="F22" s="1"/>
      <c r="G22" s="1"/>
      <c r="H22" s="1"/>
      <c r="I22" s="1"/>
      <c r="J22" s="1"/>
      <c r="K22" s="1"/>
    </row>
    <row r="23" spans="1:12" ht="15" x14ac:dyDescent="0.2">
      <c r="A23" s="4">
        <f>(B23)*D23/C23</f>
        <v>2.8571428571428571E-2</v>
      </c>
      <c r="B23" s="4">
        <v>2</v>
      </c>
      <c r="C23" s="4">
        <v>70</v>
      </c>
      <c r="D23" s="4">
        <v>1</v>
      </c>
      <c r="E23" s="1"/>
      <c r="F23" s="1"/>
      <c r="G23" s="1"/>
      <c r="H23" s="1"/>
      <c r="I23" s="1"/>
      <c r="J23" s="1"/>
      <c r="K23" s="1"/>
    </row>
  </sheetData>
  <mergeCells count="4">
    <mergeCell ref="A1:D1"/>
    <mergeCell ref="A7:D7"/>
    <mergeCell ref="A13:D13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opLeftCell="A4" workbookViewId="0">
      <selection activeCell="E7" sqref="E7"/>
    </sheetView>
  </sheetViews>
  <sheetFormatPr defaultColWidth="10.77734375" defaultRowHeight="14.4" x14ac:dyDescent="0.3"/>
  <cols>
    <col min="1" max="1" width="15.77734375" bestFit="1" customWidth="1"/>
    <col min="2" max="2" width="5.33203125" bestFit="1" customWidth="1"/>
    <col min="3" max="3" width="4.77734375" bestFit="1" customWidth="1"/>
    <col min="4" max="4" width="9.33203125" bestFit="1" customWidth="1"/>
    <col min="5" max="5" width="11.109375" bestFit="1" customWidth="1"/>
    <col min="6" max="6" width="11.44140625" customWidth="1"/>
    <col min="7" max="7" width="13.77734375" bestFit="1" customWidth="1"/>
    <col min="8" max="9" width="14" bestFit="1" customWidth="1"/>
    <col min="10" max="10" width="12" bestFit="1" customWidth="1"/>
    <col min="11" max="11" width="11.6640625" bestFit="1" customWidth="1"/>
    <col min="12" max="12" width="12" bestFit="1" customWidth="1"/>
  </cols>
  <sheetData>
    <row r="1" spans="1:13" ht="28.8" x14ac:dyDescent="0.3">
      <c r="A1" s="17" t="s">
        <v>32</v>
      </c>
      <c r="B1" s="17"/>
      <c r="C1" s="17"/>
      <c r="D1" s="17"/>
      <c r="E1" s="1"/>
      <c r="F1" s="1"/>
      <c r="G1" s="4" t="s">
        <v>34</v>
      </c>
      <c r="H1" s="4" t="s">
        <v>47</v>
      </c>
      <c r="I1" s="4" t="s">
        <v>7</v>
      </c>
      <c r="J1" s="4" t="s">
        <v>15</v>
      </c>
      <c r="K1" s="4" t="s">
        <v>16</v>
      </c>
      <c r="L1" s="3" t="s">
        <v>41</v>
      </c>
    </row>
    <row r="2" spans="1:13" ht="43.2" x14ac:dyDescent="0.3">
      <c r="A2" s="3" t="s">
        <v>12</v>
      </c>
      <c r="B2" s="4" t="s">
        <v>1</v>
      </c>
      <c r="C2" s="4" t="s">
        <v>0</v>
      </c>
      <c r="D2" s="4" t="s">
        <v>2</v>
      </c>
      <c r="E2" s="2"/>
      <c r="F2" s="1"/>
      <c r="G2" s="3" t="s">
        <v>33</v>
      </c>
      <c r="H2" s="4" t="s">
        <v>48</v>
      </c>
      <c r="I2" s="4" t="s">
        <v>35</v>
      </c>
      <c r="J2" s="4">
        <v>400</v>
      </c>
      <c r="K2" s="4">
        <v>100</v>
      </c>
      <c r="L2" s="4">
        <f>J2/K2</f>
        <v>4</v>
      </c>
    </row>
    <row r="3" spans="1:13" ht="15" x14ac:dyDescent="0.2">
      <c r="A3" s="3">
        <f>(B3*C3)/D3</f>
        <v>9</v>
      </c>
      <c r="B3" s="4">
        <v>0.5</v>
      </c>
      <c r="C3" s="4">
        <v>72</v>
      </c>
      <c r="D3" s="4">
        <v>4</v>
      </c>
      <c r="E3" s="2"/>
      <c r="F3" s="1"/>
      <c r="G3" s="2"/>
      <c r="H3" s="2"/>
      <c r="I3" s="2"/>
      <c r="J3" s="2"/>
      <c r="K3" s="2"/>
    </row>
    <row r="4" spans="1:13" ht="15" x14ac:dyDescent="0.2">
      <c r="A4" s="4" t="s">
        <v>4</v>
      </c>
      <c r="B4" s="4" t="s">
        <v>3</v>
      </c>
      <c r="C4" s="4" t="s">
        <v>0</v>
      </c>
      <c r="D4" s="4" t="s">
        <v>2</v>
      </c>
      <c r="E4" s="2"/>
      <c r="F4" s="1"/>
      <c r="G4" s="2"/>
      <c r="H4" s="2"/>
      <c r="I4" s="2"/>
      <c r="J4" s="2"/>
      <c r="K4" s="2"/>
    </row>
    <row r="5" spans="1:13" ht="15" x14ac:dyDescent="0.2">
      <c r="A5" s="4">
        <f>(B5*D5)/C5</f>
        <v>0.68571428571428572</v>
      </c>
      <c r="B5" s="4">
        <v>12</v>
      </c>
      <c r="C5" s="4">
        <v>70</v>
      </c>
      <c r="D5" s="4">
        <v>4</v>
      </c>
      <c r="E5" s="2"/>
      <c r="F5" s="1"/>
      <c r="G5" s="1"/>
      <c r="H5" s="1"/>
      <c r="I5" s="1"/>
      <c r="J5" s="1"/>
      <c r="K5" s="1"/>
    </row>
    <row r="7" spans="1:13" ht="28.8" x14ac:dyDescent="0.3">
      <c r="A7" s="18" t="s">
        <v>28</v>
      </c>
      <c r="B7" s="19"/>
      <c r="C7" s="19"/>
      <c r="D7" s="19"/>
      <c r="E7" s="15"/>
      <c r="F7" s="1"/>
      <c r="G7" s="5" t="s">
        <v>29</v>
      </c>
      <c r="H7" s="4" t="s">
        <v>36</v>
      </c>
      <c r="I7" s="4" t="s">
        <v>7</v>
      </c>
      <c r="J7" s="4" t="s">
        <v>54</v>
      </c>
      <c r="K7" s="4" t="s">
        <v>16</v>
      </c>
      <c r="L7" s="3" t="s">
        <v>55</v>
      </c>
    </row>
    <row r="8" spans="1:13" ht="43.2" x14ac:dyDescent="0.3">
      <c r="A8" s="7" t="s">
        <v>12</v>
      </c>
      <c r="B8" s="8" t="s">
        <v>1</v>
      </c>
      <c r="C8" s="8" t="s">
        <v>0</v>
      </c>
      <c r="D8" s="13" t="s">
        <v>2</v>
      </c>
      <c r="E8" s="14"/>
      <c r="F8" s="1"/>
      <c r="G8" s="6" t="s">
        <v>30</v>
      </c>
      <c r="H8" s="4" t="s">
        <v>37</v>
      </c>
      <c r="I8" s="4" t="s">
        <v>53</v>
      </c>
      <c r="J8" s="4">
        <v>200</v>
      </c>
      <c r="K8" s="4">
        <v>100</v>
      </c>
      <c r="L8" s="4">
        <f>J8/K8</f>
        <v>2</v>
      </c>
    </row>
    <row r="9" spans="1:13" ht="15" x14ac:dyDescent="0.2">
      <c r="A9" s="3">
        <f>(B9*C9)/D9</f>
        <v>5.25</v>
      </c>
      <c r="B9" s="4">
        <v>0.1</v>
      </c>
      <c r="C9" s="4">
        <v>105</v>
      </c>
      <c r="D9" s="5">
        <v>2</v>
      </c>
      <c r="E9" s="14"/>
      <c r="F9" s="1"/>
      <c r="G9" s="2"/>
      <c r="H9" s="4" t="s">
        <v>38</v>
      </c>
      <c r="I9" s="2" t="s">
        <v>68</v>
      </c>
      <c r="J9" s="2">
        <v>150</v>
      </c>
      <c r="K9" s="2">
        <v>150</v>
      </c>
      <c r="L9">
        <f>J9/K9</f>
        <v>1</v>
      </c>
    </row>
    <row r="10" spans="1:13" ht="31.95" x14ac:dyDescent="0.2">
      <c r="A10" s="3" t="s">
        <v>31</v>
      </c>
      <c r="B10" s="4" t="s">
        <v>3</v>
      </c>
      <c r="C10" s="4" t="s">
        <v>0</v>
      </c>
      <c r="D10" s="6" t="s">
        <v>2</v>
      </c>
      <c r="E10" s="14"/>
      <c r="F10" s="1"/>
      <c r="G10" s="2"/>
      <c r="H10" s="2"/>
      <c r="I10" s="2"/>
      <c r="J10" s="2"/>
      <c r="K10" s="2"/>
    </row>
    <row r="11" spans="1:13" ht="15" x14ac:dyDescent="0.2">
      <c r="A11" s="4">
        <f>(B11*D11)/C11</f>
        <v>0.10714285714285714</v>
      </c>
      <c r="B11" s="4">
        <v>6</v>
      </c>
      <c r="C11" s="4">
        <v>56</v>
      </c>
      <c r="D11" s="5">
        <v>1</v>
      </c>
      <c r="E11" s="14"/>
      <c r="F11" s="1"/>
      <c r="G11" s="1"/>
      <c r="H11" s="1"/>
      <c r="I11" s="1"/>
      <c r="J11" s="1"/>
      <c r="K11" s="1"/>
    </row>
    <row r="12" spans="1:13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3" ht="28.8" x14ac:dyDescent="0.3">
      <c r="A13" s="18" t="s">
        <v>39</v>
      </c>
      <c r="B13" s="19"/>
      <c r="C13" s="19"/>
      <c r="D13" s="19"/>
      <c r="E13" s="15"/>
      <c r="F13" s="1"/>
      <c r="G13" s="5" t="s">
        <v>42</v>
      </c>
      <c r="H13" s="4" t="s">
        <v>47</v>
      </c>
      <c r="I13" s="4" t="s">
        <v>7</v>
      </c>
      <c r="J13" s="4" t="s">
        <v>15</v>
      </c>
      <c r="K13" s="4" t="s">
        <v>16</v>
      </c>
      <c r="L13" s="3" t="s">
        <v>40</v>
      </c>
      <c r="M13" s="4" t="s">
        <v>58</v>
      </c>
    </row>
    <row r="14" spans="1:13" ht="43.2" x14ac:dyDescent="0.3">
      <c r="A14" s="7" t="s">
        <v>12</v>
      </c>
      <c r="B14" s="8" t="s">
        <v>1</v>
      </c>
      <c r="C14" s="8" t="s">
        <v>0</v>
      </c>
      <c r="D14" s="13" t="s">
        <v>2</v>
      </c>
      <c r="E14" s="14"/>
      <c r="F14" s="1"/>
      <c r="G14" s="6" t="s">
        <v>43</v>
      </c>
      <c r="H14" s="4" t="s">
        <v>44</v>
      </c>
      <c r="I14" s="4" t="s">
        <v>56</v>
      </c>
      <c r="J14" s="4">
        <v>40000</v>
      </c>
      <c r="K14" s="4">
        <v>100</v>
      </c>
      <c r="L14" s="4">
        <f>J14/K14/M14</f>
        <v>6.666666666666667</v>
      </c>
      <c r="M14" s="4">
        <v>60</v>
      </c>
    </row>
    <row r="15" spans="1:13" ht="15" x14ac:dyDescent="0.2">
      <c r="A15" s="3">
        <f>(B15*C15)/D15</f>
        <v>6.1561561561561557</v>
      </c>
      <c r="B15" s="4">
        <v>1</v>
      </c>
      <c r="C15" s="4">
        <v>41</v>
      </c>
      <c r="D15" s="5">
        <v>6.66</v>
      </c>
      <c r="E15" s="14"/>
      <c r="F15" s="1"/>
      <c r="G15" s="2"/>
      <c r="H15" s="2"/>
      <c r="I15" s="1"/>
      <c r="J15" s="1"/>
      <c r="K15" s="1"/>
    </row>
    <row r="16" spans="1:13" ht="31.95" x14ac:dyDescent="0.2">
      <c r="A16" s="3" t="s">
        <v>57</v>
      </c>
      <c r="B16" s="4" t="s">
        <v>3</v>
      </c>
      <c r="C16" s="4" t="s">
        <v>0</v>
      </c>
      <c r="D16" s="6" t="s">
        <v>2</v>
      </c>
      <c r="E16" s="14"/>
      <c r="F16" s="1"/>
      <c r="G16" s="2"/>
      <c r="H16" s="2"/>
      <c r="I16" s="1"/>
      <c r="J16" s="1"/>
      <c r="K16" s="1"/>
    </row>
    <row r="17" spans="1:13" ht="15" x14ac:dyDescent="0.2">
      <c r="A17" s="4">
        <f>(B17*D17)/C17</f>
        <v>0.99900000000000011</v>
      </c>
      <c r="B17" s="4">
        <v>6.15</v>
      </c>
      <c r="C17" s="4">
        <v>41</v>
      </c>
      <c r="D17" s="5">
        <v>6.66</v>
      </c>
      <c r="E17" s="14"/>
      <c r="F17" s="1"/>
      <c r="G17" s="1"/>
      <c r="H17" s="1"/>
      <c r="I17" s="1"/>
      <c r="J17" s="1"/>
      <c r="K17" s="1"/>
    </row>
    <row r="18" spans="1:13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3" ht="28.8" x14ac:dyDescent="0.3">
      <c r="A19" s="20" t="s">
        <v>45</v>
      </c>
      <c r="B19" s="20"/>
      <c r="C19" s="20"/>
      <c r="D19" s="20"/>
      <c r="G19" s="4" t="s">
        <v>46</v>
      </c>
      <c r="H19" s="4" t="s">
        <v>47</v>
      </c>
      <c r="I19" s="3" t="s">
        <v>7</v>
      </c>
      <c r="J19" s="4" t="s">
        <v>15</v>
      </c>
      <c r="K19" s="4" t="s">
        <v>62</v>
      </c>
      <c r="L19" s="3" t="s">
        <v>41</v>
      </c>
      <c r="M19" s="4" t="s">
        <v>58</v>
      </c>
    </row>
    <row r="20" spans="1:13" ht="72" x14ac:dyDescent="0.3">
      <c r="A20" s="3" t="s">
        <v>63</v>
      </c>
      <c r="B20" s="4" t="s">
        <v>1</v>
      </c>
      <c r="C20" s="4" t="s">
        <v>0</v>
      </c>
      <c r="D20" s="4" t="s">
        <v>2</v>
      </c>
      <c r="G20" s="3" t="s">
        <v>66</v>
      </c>
      <c r="H20" s="4" t="s">
        <v>59</v>
      </c>
      <c r="I20" s="3" t="s">
        <v>64</v>
      </c>
      <c r="J20" s="4">
        <v>1000000</v>
      </c>
      <c r="K20" s="4">
        <v>100</v>
      </c>
      <c r="L20" s="4">
        <f>J20/K20/M20</f>
        <v>166.66666666666666</v>
      </c>
      <c r="M20" s="4">
        <v>60</v>
      </c>
    </row>
    <row r="21" spans="1:13" ht="15" x14ac:dyDescent="0.2">
      <c r="A21" s="4">
        <f>(B21*C21)/D21</f>
        <v>5000.180007200287</v>
      </c>
      <c r="B21" s="4">
        <v>8333.2999999999993</v>
      </c>
      <c r="C21" s="4">
        <v>100</v>
      </c>
      <c r="D21" s="4">
        <v>166.66</v>
      </c>
      <c r="J21" s="4" t="s">
        <v>54</v>
      </c>
      <c r="K21" s="4" t="s">
        <v>62</v>
      </c>
      <c r="L21" s="4" t="s">
        <v>2</v>
      </c>
    </row>
    <row r="22" spans="1:13" ht="31.95" x14ac:dyDescent="0.2">
      <c r="A22" s="3" t="s">
        <v>65</v>
      </c>
      <c r="B22" s="4" t="s">
        <v>3</v>
      </c>
      <c r="C22" s="4" t="s">
        <v>0</v>
      </c>
      <c r="D22" s="4" t="s">
        <v>2</v>
      </c>
      <c r="J22" s="4">
        <v>1000</v>
      </c>
      <c r="K22" s="4">
        <v>100</v>
      </c>
      <c r="L22" s="4">
        <f>J22/K22</f>
        <v>10</v>
      </c>
    </row>
    <row r="23" spans="1:13" ht="15" x14ac:dyDescent="0.2">
      <c r="A23" s="4">
        <f>(B23*D23)/C23</f>
        <v>43.476521739130433</v>
      </c>
      <c r="B23" s="4">
        <v>18</v>
      </c>
      <c r="C23" s="4">
        <v>69</v>
      </c>
      <c r="D23" s="4">
        <v>166.66</v>
      </c>
    </row>
  </sheetData>
  <mergeCells count="4">
    <mergeCell ref="A1:D1"/>
    <mergeCell ref="A7:D7"/>
    <mergeCell ref="A13:D13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Dosis Vasopresores</vt:lpstr>
      <vt:lpstr>Dosis Sedantes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GOMEZ BAÑOS</dc:creator>
  <cp:lastModifiedBy>walter jauregui</cp:lastModifiedBy>
  <dcterms:created xsi:type="dcterms:W3CDTF">2021-03-20T01:21:14Z</dcterms:created>
  <dcterms:modified xsi:type="dcterms:W3CDTF">2026-07-18T22:41:20Z</dcterms:modified>
</cp:coreProperties>
</file>